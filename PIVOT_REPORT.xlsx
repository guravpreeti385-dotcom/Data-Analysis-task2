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BANK DASHBOARD\"/>
    </mc:Choice>
  </mc:AlternateContent>
  <xr:revisionPtr revIDLastSave="0" documentId="8_{2B06AC11-840A-4FDC-956A-D50CDD42E4F5}" xr6:coauthVersionLast="47" xr6:coauthVersionMax="47" xr10:uidLastSave="{00000000-0000-0000-0000-000000000000}"/>
  <bookViews>
    <workbookView xWindow="-108" yWindow="-108" windowWidth="23256" windowHeight="12456" xr2:uid="{00000000-000D-0000-FFFF-FFFF00000000}"/>
  </bookViews>
  <sheets>
    <sheet name="Sheet1" sheetId="2" r:id="rId1"/>
    <sheet name="Amazon_Clean_Data" sheetId="1" r:id="rId2"/>
  </sheets>
  <definedNames>
    <definedName name="Slicer_category">#N/A</definedName>
  </definedNames>
  <calcPr calcId="191029"/>
  <pivotCaches>
    <pivotCache cacheId="8" r:id="rId3"/>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alcChain>
</file>

<file path=xl/sharedStrings.xml><?xml version="1.0" encoding="utf-8"?>
<sst xmlns="http://schemas.openxmlformats.org/spreadsheetml/2006/main" count="134" uniqueCount="69">
  <si>
    <t>product_id</t>
  </si>
  <si>
    <t>category</t>
  </si>
  <si>
    <t>discounted_price</t>
  </si>
  <si>
    <t>actual_price</t>
  </si>
  <si>
    <t>rating</t>
  </si>
  <si>
    <t>rating_count</t>
  </si>
  <si>
    <t>P001</t>
  </si>
  <si>
    <t>Home &amp; Kitchen</t>
  </si>
  <si>
    <t>P002</t>
  </si>
  <si>
    <t>Clothing</t>
  </si>
  <si>
    <t>P003</t>
  </si>
  <si>
    <t>Books</t>
  </si>
  <si>
    <t>P004</t>
  </si>
  <si>
    <t>Beauty</t>
  </si>
  <si>
    <t>P005</t>
  </si>
  <si>
    <t>Electronics</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</si>
  <si>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</si>
  <si>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</si>
  <si>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</si>
  <si>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</si>
  <si>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</si>
  <si>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</si>
  <si>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</si>
  <si>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</si>
  <si>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</si>
  <si>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</si>
  <si>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</si>
  <si>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</si>
  <si>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</si>
  <si>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</si>
  <si>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</si>
  <si>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</si>
  <si>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</si>
  <si>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</si>
  <si>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</si>
  <si>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</si>
  <si>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</si>
  <si>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</si>
  <si>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</si>
  <si>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</si>
  <si>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</si>
  <si>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</si>
  <si>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</si>
  <si>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</si>
  <si>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</si>
  <si>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</si>
  <si>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</si>
  <si>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</si>
  <si>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</si>
  <si>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</si>
  <si>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</si>
  <si>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</si>
  <si>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</si>
  <si>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</si>
  <si>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</si>
  <si>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</si>
  <si>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</si>
  <si>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</si>
  <si>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</si>
  <si>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</si>
  <si>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</si>
  <si>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Row Labels</t>
  </si>
  <si>
    <t>Grand Total</t>
  </si>
  <si>
    <t>Average of discounted_price</t>
  </si>
  <si>
    <t>Average of rating</t>
  </si>
  <si>
    <t>profit</t>
  </si>
  <si>
    <t>profit_margin</t>
  </si>
  <si>
    <t>(blank)</t>
  </si>
  <si>
    <t>Average of profit_margin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</si>
</sst>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1" applyFont="1"/>
    <xf numFmtId="0" fontId="2" fillId="0" borderId="0" xfId="0" applyFont="1"/>
    <xf numFmtId="0" fontId="0" fillId="0" borderId="0" xfId="0" applyAlignment="1">
      <alignment wrapText="1"/>
    </xf>
  </cellXfs>
  <cellStyles count="2">
    <cellStyle name="Normal" xfId="0" builtinId="0"/>
    <cellStyle name="Percent" xfId="1" builtinId="5"/>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[PIVOT_REPORT.xlsx]Sheet1!PivotTable2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AVERGAGE</a:t>
            </a:r>
            <a:r>
              <a:rPr lang="en-IN" baseline="0"/>
              <a:t> SALE BY CATEGORY</a:t>
            </a:r>
          </a:p>
        </c:rich>
      </c:tx>
      <c:layout>
        <c:manualLayout>
          <c:xMode val="edge"/>
          <c:yMode val="edge"/>
          <c:x val="0.28722900262467199"/>
          <c:y val="0.119349664625255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Sheet1!$B$2</c:f>
              <c:strCache>
                <c:ptCount val="1"/>
                <c:pt idx="0">
                  <c:v>Total</c:v>
                </c:pt>
              </c:strCache>
            </c:strRef>
          </c:tx>
          <c:spPr>
            <a:solidFill>
              <a:schemeClr val="accent1"/>
            </a:solidFill>
            <a:ln>
              <a:noFill/>
            </a:ln>
            <a:effectLst/>
            <a:sp3d/>
          </c:spPr>
          <c:invertIfNegative val="0"/>
          <c:cat>
            <c:strRef>
              <c:f>Sheet1!$A$3:$A$8</c:f>
              <c:strCache>
                <c:ptCount val="5"/>
                <c:pt idx="0">
                  <c:v>Electronics</c:v>
                </c:pt>
                <c:pt idx="1">
                  <c:v>Beauty</c:v>
                </c:pt>
                <c:pt idx="2">
                  <c:v>Books</c:v>
                </c:pt>
                <c:pt idx="3">
                  <c:v>Clothing</c:v>
                </c:pt>
                <c:pt idx="4">
                  <c:v>Home &amp; Kitchen</c:v>
                </c:pt>
              </c:strCache>
            </c:strRef>
          </c:cat>
          <c:val>
            <c:numRef>
              <c:f>Sheet1!$B$3:$B$8</c:f>
              <c:numCache>
                <c:formatCode>General</c:formatCode>
                <c:ptCount val="5"/>
                <c:pt idx="0">
                  <c:v>775</c:v>
                </c:pt>
                <c:pt idx="1">
                  <c:v>765</c:v>
                </c:pt>
                <c:pt idx="2">
                  <c:v>755</c:v>
                </c:pt>
                <c:pt idx="3">
                  <c:v>745</c:v>
                </c:pt>
                <c:pt idx="4">
                  <c:v>735</c:v>
                </c:pt>
              </c:numCache>
            </c:numRef>
          </c:val>
          <c:extLst>
            <c:ext xmlns:c16="http://schemas.microsoft.com/office/drawing/2014/chart" uri="{C3380CC4-5D6E-409C-BE32-E72D297353CC}">
              <c16:uniqueId val="{00000000-E39F-4A0A-9BC2-525DFECF65C7}"/>
            </c:ext>
          </c:extLst>
        </c:ser>
        <c:dLbls>
          <c:showLegendKey val="0"/>
          <c:showVal val="0"/>
          <c:showCatName val="0"/>
          <c:showSerName val="0"/>
          <c:showPercent val="0"/>
          <c:showBubbleSize val="0"/>
        </c:dLbls>
        <c:gapWidth val="150"/>
        <c:shape val="box"/>
        <c:axId val="170318960"/>
        <c:axId val="170318480"/>
        <c:axId val="0"/>
      </c:bar3DChart>
      <c:catAx>
        <c:axId val="17031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8480"/>
        <c:crosses val="autoZero"/>
        <c:auto val="1"/>
        <c:lblAlgn val="ctr"/>
        <c:lblOffset val="100"/>
        <c:noMultiLvlLbl val="0"/>
      </c:catAx>
      <c:valAx>
        <c:axId val="17031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1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937260</xdr:colOff>
      <xdr:row>0</xdr:row>
      <xdr:rowOff>0</xdr:rowOff>
    </xdr:from>
    <xdr:to>
      <xdr:col>9</xdr:col>
      <xdr:colOff>15240</xdr:colOff>
      <xdr:row>9</xdr:row>
      <xdr:rowOff>7620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59107196-4AD1-8E5F-F47A-B00C69E14D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54340" y="0"/>
              <a:ext cx="253746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350520</xdr:colOff>
      <xdr:row>13</xdr:row>
      <xdr:rowOff>95250</xdr:rowOff>
    </xdr:from>
    <xdr:to>
      <xdr:col>6</xdr:col>
      <xdr:colOff>609600</xdr:colOff>
      <xdr:row>26</xdr:row>
      <xdr:rowOff>45720</xdr:rowOff>
    </xdr:to>
    <xdr:graphicFrame macro="">
      <xdr:nvGraphicFramePr>
        <xdr:cNvPr id="3" name="Chart 2">
          <a:extLst>
            <a:ext uri="{FF2B5EF4-FFF2-40B4-BE49-F238E27FC236}">
              <a16:creationId xmlns:a16="http://schemas.microsoft.com/office/drawing/2014/main" id="{3C0AE258-0A7D-06DB-A6F1-15CD509C5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8</xdr:row>
      <xdr:rowOff>83820</xdr:rowOff>
    </xdr:from>
    <xdr:to>
      <xdr:col>2</xdr:col>
      <xdr:colOff>259080</xdr:colOff>
      <xdr:row>12</xdr:row>
      <xdr:rowOff>91440</xdr:rowOff>
    </xdr:to>
    <xdr:sp macro="" textlink="">
      <xdr:nvSpPr>
        <xdr:cNvPr id="4" name="TextBox 3">
          <a:extLst>
            <a:ext uri="{FF2B5EF4-FFF2-40B4-BE49-F238E27FC236}">
              <a16:creationId xmlns:a16="http://schemas.microsoft.com/office/drawing/2014/main" id="{B9827158-26DD-8CDA-2A20-4EBA7171EC74}"/>
            </a:ext>
          </a:extLst>
        </xdr:cNvPr>
        <xdr:cNvSpPr txBox="1"/>
      </xdr:nvSpPr>
      <xdr:spPr>
        <a:xfrm>
          <a:off x="60960" y="1546860"/>
          <a:ext cx="2918460" cy="822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KEY INSIGHTS</a:t>
          </a:r>
          <a:r>
            <a:rPr lang="en-IN" sz="1200" b="1" baseline="0"/>
            <a:t> 1</a:t>
          </a:r>
        </a:p>
        <a:p>
          <a:r>
            <a:rPr lang="en-IN" sz="1100"/>
            <a:t>Electronics has the highest average sales (₹775), while Home &amp; Kitchen has the lowest average sales (₹735).</a:t>
          </a:r>
          <a:endParaRPr lang="en-IN" sz="1100" b="1"/>
        </a:p>
      </xdr:txBody>
    </xdr:sp>
    <xdr:clientData/>
  </xdr:twoCellAnchor>
  <xdr:twoCellAnchor>
    <xdr:from>
      <xdr:col>4</xdr:col>
      <xdr:colOff>15240</xdr:colOff>
      <xdr:row>9</xdr:row>
      <xdr:rowOff>76200</xdr:rowOff>
    </xdr:from>
    <xdr:to>
      <xdr:col>6</xdr:col>
      <xdr:colOff>30480</xdr:colOff>
      <xdr:row>13</xdr:row>
      <xdr:rowOff>15240</xdr:rowOff>
    </xdr:to>
    <xdr:sp macro="" textlink="">
      <xdr:nvSpPr>
        <xdr:cNvPr id="5" name="TextBox 4">
          <a:extLst>
            <a:ext uri="{FF2B5EF4-FFF2-40B4-BE49-F238E27FC236}">
              <a16:creationId xmlns:a16="http://schemas.microsoft.com/office/drawing/2014/main" id="{892E5559-9EB1-1C4B-C8C2-B2A12F756F35}"/>
            </a:ext>
          </a:extLst>
        </xdr:cNvPr>
        <xdr:cNvSpPr txBox="1"/>
      </xdr:nvSpPr>
      <xdr:spPr>
        <a:xfrm>
          <a:off x="4320540" y="1722120"/>
          <a:ext cx="2827020" cy="754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                   KEY INSIGHTS</a:t>
          </a:r>
          <a:r>
            <a:rPr lang="en-IN" sz="1200" b="1" baseline="0">
              <a:solidFill>
                <a:schemeClr val="dk1"/>
              </a:solidFill>
              <a:effectLst/>
              <a:latin typeface="+mn-lt"/>
              <a:ea typeface="+mn-ea"/>
              <a:cs typeface="+mn-cs"/>
            </a:rPr>
            <a:t> 2</a:t>
          </a:r>
          <a:endParaRPr lang="en-IN" sz="1200" b="1">
            <a:effectLst/>
          </a:endParaRPr>
        </a:p>
        <a:p>
          <a:r>
            <a:rPr lang="en-IN"/>
            <a:t>Profit margins are similar across categories, with Home &amp; Kitchen slightly higher than others.</a:t>
          </a:r>
          <a:endParaRPr lang="en-IN" sz="1100"/>
        </a:p>
      </xdr:txBody>
    </xdr:sp>
    <xdr:clientData/>
  </xdr:twoCellAnchor>
  <xdr:twoCellAnchor>
    <xdr:from>
      <xdr:col>9</xdr:col>
      <xdr:colOff>266700</xdr:colOff>
      <xdr:row>0</xdr:row>
      <xdr:rowOff>137160</xdr:rowOff>
    </xdr:from>
    <xdr:to>
      <xdr:col>12</xdr:col>
      <xdr:colOff>22860</xdr:colOff>
      <xdr:row>4</xdr:row>
      <xdr:rowOff>152400</xdr:rowOff>
    </xdr:to>
    <xdr:sp macro="" textlink="">
      <xdr:nvSpPr>
        <xdr:cNvPr id="6" name="TextBox 5">
          <a:extLst>
            <a:ext uri="{FF2B5EF4-FFF2-40B4-BE49-F238E27FC236}">
              <a16:creationId xmlns:a16="http://schemas.microsoft.com/office/drawing/2014/main" id="{18D787E2-3DA6-CEE6-BC93-34C5E7D82482}"/>
            </a:ext>
          </a:extLst>
        </xdr:cNvPr>
        <xdr:cNvSpPr txBox="1"/>
      </xdr:nvSpPr>
      <xdr:spPr>
        <a:xfrm>
          <a:off x="10843260" y="137160"/>
          <a:ext cx="2621280" cy="746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latin typeface="+mn-lt"/>
              <a:ea typeface="+mn-ea"/>
              <a:cs typeface="+mn-cs"/>
            </a:rPr>
            <a:t>                     KEY INSIGHTS</a:t>
          </a:r>
          <a:r>
            <a:rPr lang="en-IN" sz="1100" b="1" baseline="0">
              <a:solidFill>
                <a:schemeClr val="dk1"/>
              </a:solidFill>
              <a:effectLst/>
              <a:latin typeface="+mn-lt"/>
              <a:ea typeface="+mn-ea"/>
              <a:cs typeface="+mn-cs"/>
            </a:rPr>
            <a:t> 3</a:t>
          </a:r>
          <a:endParaRPr lang="en-IN">
            <a:effectLst/>
          </a:endParaRPr>
        </a:p>
        <a:p>
          <a:r>
            <a:rPr lang="en-IN"/>
            <a:t>Higher ratings do not always correspond to higher sales across categories.</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eti" refreshedDate="46038.531540277778" createdVersion="8" refreshedVersion="8" minRefreshableVersion="3" recordCount="50" xr:uid="{F4119C01-B259-4712-9AE5-CA441FFF9217}">
  <cacheSource type="worksheet">
    <worksheetSource name="Table1"/>
  </cacheSource>
  <cacheFields count="6">
    <cacheField name="product_id" numFmtId="0">
      <sharedItems/>
    </cacheField>
    <cacheField name="category" numFmtId="0">
      <sharedItems count="5">
        <s v="Home &amp; Kitchen"/>
        <s v="Clothing"/>
        <s v="Books"/>
        <s v="Beauty"/>
        <s v="Electronics"/>
      </sharedItems>
    </cacheField>
    <cacheField name="discounted_price" numFmtId="0">
      <sharedItems containsSemiMixedTypes="0" containsString="0" containsNumber="1" containsInteger="1" minValue="510" maxValue="1000"/>
    </cacheField>
    <cacheField name="actual_price" numFmtId="0">
      <sharedItems containsSemiMixedTypes="0" containsString="0" containsNumber="1" containsInteger="1" minValue="712" maxValue="1300"/>
    </cacheField>
    <cacheField name="rating" numFmtId="0">
      <sharedItems containsSemiMixedTypes="0" containsString="0" containsNumber="1" minValue="3.5" maxValue="4.7"/>
    </cacheField>
    <cacheField name="rating_count" numFmtId="0">
      <sharedItems containsSemiMixedTypes="0" containsString="0" containsNumber="1" containsInteger="1" minValue="55" maxValue="300"/>
    </cacheField>
  </cacheFields>
  <extLst>
    <ext xmlns:x14="http://schemas.microsoft.com/office/spreadsheetml/2009/9/main" uri="{725AE2AE-9491-48be-B2B4-4EB974FC3084}">
      <x14:pivotCacheDefinition pivotCacheId="6803781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eti" refreshedDate="46038.617877893521" createdVersion="8" refreshedVersion="8" minRefreshableVersion="3" recordCount="51" xr:uid="{2BBE8A1B-069B-45DD-88C8-08A5C0E5F8EE}">
  <cacheSource type="worksheet">
    <worksheetSource ref="A1:H1048576" sheet="Amazon_Clean_Data"/>
  </cacheSource>
  <cacheFields count="8">
    <cacheField name="product_id" numFmtId="0">
      <sharedItems containsBlank="1"/>
    </cacheField>
    <cacheField name="category" numFmtId="0">
      <sharedItems containsBlank="1" count="6">
        <s v="Home &amp; Kitchen"/>
        <s v="Clothing"/>
        <s v="Books"/>
        <s v="Beauty"/>
        <s v="Electronics"/>
        <m/>
      </sharedItems>
    </cacheField>
    <cacheField name="discounted_price" numFmtId="0">
      <sharedItems containsString="0" containsBlank="1" containsNumber="1" containsInteger="1" minValue="510" maxValue="1000" count="51">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m/>
      </sharedItems>
    </cacheField>
    <cacheField name="actual_price" numFmtId="0">
      <sharedItems containsString="0" containsBlank="1" containsNumber="1" containsInteger="1" minValue="712" maxValue="1300"/>
    </cacheField>
    <cacheField name="rating" numFmtId="0">
      <sharedItems containsString="0" containsBlank="1" containsNumber="1" minValue="3.5" maxValue="4.7"/>
    </cacheField>
    <cacheField name="rating_count" numFmtId="0">
      <sharedItems containsString="0" containsBlank="1" containsNumber="1" containsInteger="1" minValue="55" maxValue="300"/>
    </cacheField>
    <cacheField name="profit" numFmtId="0">
      <sharedItems containsString="0" containsBlank="1" containsNumber="1" containsInteger="1" minValue="202" maxValue="300"/>
    </cacheField>
    <cacheField name="profit_margin" numFmtId="9">
      <sharedItems containsString="0" containsBlank="1" containsNumber="1" minValue="0.23076923076923078" maxValue="0.283707865168539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P001"/>
    <x v="0"/>
    <n v="510"/>
    <n v="712"/>
    <n v="3.8"/>
    <n v="55"/>
  </r>
  <r>
    <s v="P002"/>
    <x v="1"/>
    <n v="520"/>
    <n v="724"/>
    <n v="4.0999999999999996"/>
    <n v="60"/>
  </r>
  <r>
    <s v="P003"/>
    <x v="2"/>
    <n v="530"/>
    <n v="736"/>
    <n v="4.4000000000000004"/>
    <n v="65"/>
  </r>
  <r>
    <s v="P004"/>
    <x v="3"/>
    <n v="540"/>
    <n v="748"/>
    <n v="4.7"/>
    <n v="70"/>
  </r>
  <r>
    <s v="P005"/>
    <x v="4"/>
    <n v="550"/>
    <n v="760"/>
    <n v="3.5"/>
    <n v="75"/>
  </r>
  <r>
    <s v="P006"/>
    <x v="0"/>
    <n v="560"/>
    <n v="772"/>
    <n v="3.8"/>
    <n v="80"/>
  </r>
  <r>
    <s v="P007"/>
    <x v="1"/>
    <n v="570"/>
    <n v="784"/>
    <n v="4.0999999999999996"/>
    <n v="85"/>
  </r>
  <r>
    <s v="P008"/>
    <x v="2"/>
    <n v="580"/>
    <n v="796"/>
    <n v="4.4000000000000004"/>
    <n v="90"/>
  </r>
  <r>
    <s v="P009"/>
    <x v="3"/>
    <n v="590"/>
    <n v="808"/>
    <n v="4.7"/>
    <n v="95"/>
  </r>
  <r>
    <s v="P010"/>
    <x v="4"/>
    <n v="600"/>
    <n v="820"/>
    <n v="3.5"/>
    <n v="100"/>
  </r>
  <r>
    <s v="P011"/>
    <x v="0"/>
    <n v="610"/>
    <n v="832"/>
    <n v="3.8"/>
    <n v="105"/>
  </r>
  <r>
    <s v="P012"/>
    <x v="1"/>
    <n v="620"/>
    <n v="844"/>
    <n v="4.0999999999999996"/>
    <n v="110"/>
  </r>
  <r>
    <s v="P013"/>
    <x v="2"/>
    <n v="630"/>
    <n v="856"/>
    <n v="4.4000000000000004"/>
    <n v="115"/>
  </r>
  <r>
    <s v="P014"/>
    <x v="3"/>
    <n v="640"/>
    <n v="868"/>
    <n v="4.7"/>
    <n v="120"/>
  </r>
  <r>
    <s v="P015"/>
    <x v="4"/>
    <n v="650"/>
    <n v="880"/>
    <n v="3.5"/>
    <n v="125"/>
  </r>
  <r>
    <s v="P016"/>
    <x v="0"/>
    <n v="660"/>
    <n v="892"/>
    <n v="3.8"/>
    <n v="130"/>
  </r>
  <r>
    <s v="P017"/>
    <x v="1"/>
    <n v="670"/>
    <n v="904"/>
    <n v="4.0999999999999996"/>
    <n v="135"/>
  </r>
  <r>
    <s v="P018"/>
    <x v="2"/>
    <n v="680"/>
    <n v="916"/>
    <n v="4.4000000000000004"/>
    <n v="140"/>
  </r>
  <r>
    <s v="P019"/>
    <x v="3"/>
    <n v="690"/>
    <n v="928"/>
    <n v="4.7"/>
    <n v="145"/>
  </r>
  <r>
    <s v="P020"/>
    <x v="4"/>
    <n v="700"/>
    <n v="940"/>
    <n v="3.5"/>
    <n v="150"/>
  </r>
  <r>
    <s v="P021"/>
    <x v="0"/>
    <n v="710"/>
    <n v="952"/>
    <n v="3.8"/>
    <n v="155"/>
  </r>
  <r>
    <s v="P022"/>
    <x v="1"/>
    <n v="720"/>
    <n v="964"/>
    <n v="4.0999999999999996"/>
    <n v="160"/>
  </r>
  <r>
    <s v="P023"/>
    <x v="2"/>
    <n v="730"/>
    <n v="976"/>
    <n v="4.4000000000000004"/>
    <n v="165"/>
  </r>
  <r>
    <s v="P024"/>
    <x v="3"/>
    <n v="740"/>
    <n v="988"/>
    <n v="4.7"/>
    <n v="170"/>
  </r>
  <r>
    <s v="P025"/>
    <x v="4"/>
    <n v="750"/>
    <n v="1000"/>
    <n v="3.5"/>
    <n v="175"/>
  </r>
  <r>
    <s v="P026"/>
    <x v="0"/>
    <n v="760"/>
    <n v="1012"/>
    <n v="3.8"/>
    <n v="180"/>
  </r>
  <r>
    <s v="P027"/>
    <x v="1"/>
    <n v="770"/>
    <n v="1024"/>
    <n v="4.0999999999999996"/>
    <n v="185"/>
  </r>
  <r>
    <s v="P028"/>
    <x v="2"/>
    <n v="780"/>
    <n v="1036"/>
    <n v="4.4000000000000004"/>
    <n v="190"/>
  </r>
  <r>
    <s v="P029"/>
    <x v="3"/>
    <n v="790"/>
    <n v="1048"/>
    <n v="4.7"/>
    <n v="195"/>
  </r>
  <r>
    <s v="P030"/>
    <x v="4"/>
    <n v="800"/>
    <n v="1060"/>
    <n v="3.5"/>
    <n v="200"/>
  </r>
  <r>
    <s v="P031"/>
    <x v="0"/>
    <n v="810"/>
    <n v="1072"/>
    <n v="3.8"/>
    <n v="205"/>
  </r>
  <r>
    <s v="P032"/>
    <x v="1"/>
    <n v="820"/>
    <n v="1084"/>
    <n v="4.0999999999999996"/>
    <n v="210"/>
  </r>
  <r>
    <s v="P033"/>
    <x v="2"/>
    <n v="830"/>
    <n v="1096"/>
    <n v="4.4000000000000004"/>
    <n v="215"/>
  </r>
  <r>
    <s v="P034"/>
    <x v="3"/>
    <n v="840"/>
    <n v="1108"/>
    <n v="4.7"/>
    <n v="220"/>
  </r>
  <r>
    <s v="P035"/>
    <x v="4"/>
    <n v="850"/>
    <n v="1120"/>
    <n v="3.5"/>
    <n v="225"/>
  </r>
  <r>
    <s v="P036"/>
    <x v="0"/>
    <n v="860"/>
    <n v="1132"/>
    <n v="3.8"/>
    <n v="230"/>
  </r>
  <r>
    <s v="P037"/>
    <x v="1"/>
    <n v="870"/>
    <n v="1144"/>
    <n v="4.0999999999999996"/>
    <n v="235"/>
  </r>
  <r>
    <s v="P038"/>
    <x v="2"/>
    <n v="880"/>
    <n v="1156"/>
    <n v="4.4000000000000004"/>
    <n v="240"/>
  </r>
  <r>
    <s v="P039"/>
    <x v="3"/>
    <n v="890"/>
    <n v="1168"/>
    <n v="4.7"/>
    <n v="245"/>
  </r>
  <r>
    <s v="P040"/>
    <x v="4"/>
    <n v="900"/>
    <n v="1180"/>
    <n v="3.5"/>
    <n v="250"/>
  </r>
  <r>
    <s v="P041"/>
    <x v="0"/>
    <n v="910"/>
    <n v="1192"/>
    <n v="3.8"/>
    <n v="255"/>
  </r>
  <r>
    <s v="P042"/>
    <x v="1"/>
    <n v="920"/>
    <n v="1204"/>
    <n v="4.0999999999999996"/>
    <n v="260"/>
  </r>
  <r>
    <s v="P043"/>
    <x v="2"/>
    <n v="930"/>
    <n v="1216"/>
    <n v="4.4000000000000004"/>
    <n v="265"/>
  </r>
  <r>
    <s v="P044"/>
    <x v="3"/>
    <n v="940"/>
    <n v="1228"/>
    <n v="4.7"/>
    <n v="270"/>
  </r>
  <r>
    <s v="P045"/>
    <x v="4"/>
    <n v="950"/>
    <n v="1240"/>
    <n v="3.5"/>
    <n v="275"/>
  </r>
  <r>
    <s v="P046"/>
    <x v="0"/>
    <n v="960"/>
    <n v="1252"/>
    <n v="3.8"/>
    <n v="280"/>
  </r>
  <r>
    <s v="P047"/>
    <x v="1"/>
    <n v="970"/>
    <n v="1264"/>
    <n v="4.0999999999999996"/>
    <n v="285"/>
  </r>
  <r>
    <s v="P048"/>
    <x v="2"/>
    <n v="980"/>
    <n v="1276"/>
    <n v="4.4000000000000004"/>
    <n v="290"/>
  </r>
  <r>
    <s v="P049"/>
    <x v="3"/>
    <n v="990"/>
    <n v="1288"/>
    <n v="4.7"/>
    <n v="295"/>
  </r>
  <r>
    <s v="P050"/>
    <x v="4"/>
    <n v="1000"/>
    <n v="1300"/>
    <n v="3.5"/>
    <n v="3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P001"/>
    <x v="0"/>
    <x v="0"/>
    <n v="712"/>
    <n v="3.8"/>
    <n v="55"/>
    <n v="202"/>
    <n v="0.28370786516853935"/>
  </r>
  <r>
    <s v="P002"/>
    <x v="1"/>
    <x v="1"/>
    <n v="724"/>
    <n v="4.0999999999999996"/>
    <n v="60"/>
    <n v="204"/>
    <n v="0.28176795580110497"/>
  </r>
  <r>
    <s v="P003"/>
    <x v="2"/>
    <x v="2"/>
    <n v="736"/>
    <n v="4.4000000000000004"/>
    <n v="65"/>
    <n v="206"/>
    <n v="0.27989130434782611"/>
  </r>
  <r>
    <s v="P004"/>
    <x v="3"/>
    <x v="3"/>
    <n v="748"/>
    <n v="4.7"/>
    <n v="70"/>
    <n v="208"/>
    <n v="0.27807486631016043"/>
  </r>
  <r>
    <s v="P005"/>
    <x v="4"/>
    <x v="4"/>
    <n v="760"/>
    <n v="3.5"/>
    <n v="75"/>
    <n v="210"/>
    <n v="0.27631578947368424"/>
  </r>
  <r>
    <s v="P006"/>
    <x v="0"/>
    <x v="5"/>
    <n v="772"/>
    <n v="3.8"/>
    <n v="80"/>
    <n v="212"/>
    <n v="0.27461139896373055"/>
  </r>
  <r>
    <s v="P007"/>
    <x v="1"/>
    <x v="6"/>
    <n v="784"/>
    <n v="4.0999999999999996"/>
    <n v="85"/>
    <n v="214"/>
    <n v="0.27295918367346939"/>
  </r>
  <r>
    <s v="P008"/>
    <x v="2"/>
    <x v="7"/>
    <n v="796"/>
    <n v="4.4000000000000004"/>
    <n v="90"/>
    <n v="216"/>
    <n v="0.271356783919598"/>
  </r>
  <r>
    <s v="P009"/>
    <x v="3"/>
    <x v="8"/>
    <n v="808"/>
    <n v="4.7"/>
    <n v="95"/>
    <n v="218"/>
    <n v="0.26980198019801982"/>
  </r>
  <r>
    <s v="P010"/>
    <x v="4"/>
    <x v="9"/>
    <n v="820"/>
    <n v="3.5"/>
    <n v="100"/>
    <n v="220"/>
    <n v="0.26829268292682928"/>
  </r>
  <r>
    <s v="P011"/>
    <x v="0"/>
    <x v="10"/>
    <n v="832"/>
    <n v="3.8"/>
    <n v="105"/>
    <n v="222"/>
    <n v="0.26682692307692307"/>
  </r>
  <r>
    <s v="P012"/>
    <x v="1"/>
    <x v="11"/>
    <n v="844"/>
    <n v="4.0999999999999996"/>
    <n v="110"/>
    <n v="224"/>
    <n v="0.26540284360189575"/>
  </r>
  <r>
    <s v="P013"/>
    <x v="2"/>
    <x v="12"/>
    <n v="856"/>
    <n v="4.4000000000000004"/>
    <n v="115"/>
    <n v="226"/>
    <n v="0.26401869158878505"/>
  </r>
  <r>
    <s v="P014"/>
    <x v="3"/>
    <x v="13"/>
    <n v="868"/>
    <n v="4.7"/>
    <n v="120"/>
    <n v="228"/>
    <n v="0.26267281105990781"/>
  </r>
  <r>
    <s v="P015"/>
    <x v="4"/>
    <x v="14"/>
    <n v="880"/>
    <n v="3.5"/>
    <n v="125"/>
    <n v="230"/>
    <n v="0.26136363636363635"/>
  </r>
  <r>
    <s v="P016"/>
    <x v="0"/>
    <x v="15"/>
    <n v="892"/>
    <n v="3.8"/>
    <n v="130"/>
    <n v="232"/>
    <n v="0.26008968609865468"/>
  </r>
  <r>
    <s v="P017"/>
    <x v="1"/>
    <x v="16"/>
    <n v="904"/>
    <n v="4.0999999999999996"/>
    <n v="135"/>
    <n v="234"/>
    <n v="0.25884955752212391"/>
  </r>
  <r>
    <s v="P018"/>
    <x v="2"/>
    <x v="17"/>
    <n v="916"/>
    <n v="4.4000000000000004"/>
    <n v="140"/>
    <n v="236"/>
    <n v="0.2576419213973799"/>
  </r>
  <r>
    <s v="P019"/>
    <x v="3"/>
    <x v="18"/>
    <n v="928"/>
    <n v="4.7"/>
    <n v="145"/>
    <n v="238"/>
    <n v="0.25646551724137934"/>
  </r>
  <r>
    <s v="P020"/>
    <x v="4"/>
    <x v="19"/>
    <n v="940"/>
    <n v="3.5"/>
    <n v="150"/>
    <n v="240"/>
    <n v="0.25531914893617019"/>
  </r>
  <r>
    <s v="P021"/>
    <x v="0"/>
    <x v="20"/>
    <n v="952"/>
    <n v="3.8"/>
    <n v="155"/>
    <n v="242"/>
    <n v="0.25420168067226889"/>
  </r>
  <r>
    <s v="P022"/>
    <x v="1"/>
    <x v="21"/>
    <n v="964"/>
    <n v="4.0999999999999996"/>
    <n v="160"/>
    <n v="244"/>
    <n v="0.25311203319502074"/>
  </r>
  <r>
    <s v="P023"/>
    <x v="2"/>
    <x v="22"/>
    <n v="976"/>
    <n v="4.4000000000000004"/>
    <n v="165"/>
    <n v="246"/>
    <n v="0.25204918032786883"/>
  </r>
  <r>
    <s v="P024"/>
    <x v="3"/>
    <x v="23"/>
    <n v="988"/>
    <n v="4.7"/>
    <n v="170"/>
    <n v="248"/>
    <n v="0.25101214574898784"/>
  </r>
  <r>
    <s v="P025"/>
    <x v="4"/>
    <x v="24"/>
    <n v="1000"/>
    <n v="3.5"/>
    <n v="175"/>
    <n v="250"/>
    <n v="0.25"/>
  </r>
  <r>
    <s v="P026"/>
    <x v="0"/>
    <x v="25"/>
    <n v="1012"/>
    <n v="3.8"/>
    <n v="180"/>
    <n v="252"/>
    <n v="0.24901185770750989"/>
  </r>
  <r>
    <s v="P027"/>
    <x v="1"/>
    <x v="26"/>
    <n v="1024"/>
    <n v="4.0999999999999996"/>
    <n v="185"/>
    <n v="254"/>
    <n v="0.248046875"/>
  </r>
  <r>
    <s v="P028"/>
    <x v="2"/>
    <x v="27"/>
    <n v="1036"/>
    <n v="4.4000000000000004"/>
    <n v="190"/>
    <n v="256"/>
    <n v="0.24710424710424711"/>
  </r>
  <r>
    <s v="P029"/>
    <x v="3"/>
    <x v="28"/>
    <n v="1048"/>
    <n v="4.7"/>
    <n v="195"/>
    <n v="258"/>
    <n v="0.24618320610687022"/>
  </r>
  <r>
    <s v="P030"/>
    <x v="4"/>
    <x v="29"/>
    <n v="1060"/>
    <n v="3.5"/>
    <n v="200"/>
    <n v="260"/>
    <n v="0.24528301886792453"/>
  </r>
  <r>
    <s v="P031"/>
    <x v="0"/>
    <x v="30"/>
    <n v="1072"/>
    <n v="3.8"/>
    <n v="205"/>
    <n v="262"/>
    <n v="0.24440298507462688"/>
  </r>
  <r>
    <s v="P032"/>
    <x v="1"/>
    <x v="31"/>
    <n v="1084"/>
    <n v="4.0999999999999996"/>
    <n v="210"/>
    <n v="264"/>
    <n v="0.24354243542435425"/>
  </r>
  <r>
    <s v="P033"/>
    <x v="2"/>
    <x v="32"/>
    <n v="1096"/>
    <n v="4.4000000000000004"/>
    <n v="215"/>
    <n v="266"/>
    <n v="0.24270072992700731"/>
  </r>
  <r>
    <s v="P034"/>
    <x v="3"/>
    <x v="33"/>
    <n v="1108"/>
    <n v="4.7"/>
    <n v="220"/>
    <n v="268"/>
    <n v="0.24187725631768953"/>
  </r>
  <r>
    <s v="P035"/>
    <x v="4"/>
    <x v="34"/>
    <n v="1120"/>
    <n v="3.5"/>
    <n v="225"/>
    <n v="270"/>
    <n v="0.24107142857142858"/>
  </r>
  <r>
    <s v="P036"/>
    <x v="0"/>
    <x v="35"/>
    <n v="1132"/>
    <n v="3.8"/>
    <n v="230"/>
    <n v="272"/>
    <n v="0.24028268551236748"/>
  </r>
  <r>
    <s v="P037"/>
    <x v="1"/>
    <x v="36"/>
    <n v="1144"/>
    <n v="4.0999999999999996"/>
    <n v="235"/>
    <n v="274"/>
    <n v="0.2395104895104895"/>
  </r>
  <r>
    <s v="P038"/>
    <x v="2"/>
    <x v="37"/>
    <n v="1156"/>
    <n v="4.4000000000000004"/>
    <n v="240"/>
    <n v="276"/>
    <n v="0.23875432525951557"/>
  </r>
  <r>
    <s v="P039"/>
    <x v="3"/>
    <x v="38"/>
    <n v="1168"/>
    <n v="4.7"/>
    <n v="245"/>
    <n v="278"/>
    <n v="0.23801369863013699"/>
  </r>
  <r>
    <s v="P040"/>
    <x v="4"/>
    <x v="39"/>
    <n v="1180"/>
    <n v="3.5"/>
    <n v="250"/>
    <n v="280"/>
    <n v="0.23728813559322035"/>
  </r>
  <r>
    <s v="P041"/>
    <x v="0"/>
    <x v="40"/>
    <n v="1192"/>
    <n v="3.8"/>
    <n v="255"/>
    <n v="282"/>
    <n v="0.23657718120805368"/>
  </r>
  <r>
    <s v="P042"/>
    <x v="1"/>
    <x v="41"/>
    <n v="1204"/>
    <n v="4.0999999999999996"/>
    <n v="260"/>
    <n v="284"/>
    <n v="0.23588039867109634"/>
  </r>
  <r>
    <s v="P043"/>
    <x v="2"/>
    <x v="42"/>
    <n v="1216"/>
    <n v="4.4000000000000004"/>
    <n v="265"/>
    <n v="286"/>
    <n v="0.23519736842105263"/>
  </r>
  <r>
    <s v="P044"/>
    <x v="3"/>
    <x v="43"/>
    <n v="1228"/>
    <n v="4.7"/>
    <n v="270"/>
    <n v="288"/>
    <n v="0.23452768729641693"/>
  </r>
  <r>
    <s v="P045"/>
    <x v="4"/>
    <x v="44"/>
    <n v="1240"/>
    <n v="3.5"/>
    <n v="275"/>
    <n v="290"/>
    <n v="0.23387096774193547"/>
  </r>
  <r>
    <s v="P046"/>
    <x v="0"/>
    <x v="45"/>
    <n v="1252"/>
    <n v="3.8"/>
    <n v="280"/>
    <n v="292"/>
    <n v="0.23322683706070288"/>
  </r>
  <r>
    <s v="P047"/>
    <x v="1"/>
    <x v="46"/>
    <n v="1264"/>
    <n v="4.0999999999999996"/>
    <n v="285"/>
    <n v="294"/>
    <n v="0.23259493670886075"/>
  </r>
  <r>
    <s v="P048"/>
    <x v="2"/>
    <x v="47"/>
    <n v="1276"/>
    <n v="4.4000000000000004"/>
    <n v="290"/>
    <n v="296"/>
    <n v="0.23197492163009403"/>
  </r>
  <r>
    <s v="P049"/>
    <x v="3"/>
    <x v="48"/>
    <n v="1288"/>
    <n v="4.7"/>
    <n v="295"/>
    <n v="298"/>
    <n v="0.23136645962732919"/>
  </r>
  <r>
    <s v="P050"/>
    <x v="4"/>
    <x v="49"/>
    <n v="1300"/>
    <n v="3.5"/>
    <n v="300"/>
    <n v="300"/>
    <n v="0.23076923076923078"/>
  </r>
  <r>
    <m/>
    <x v="5"/>
    <x v="5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68A0F8-66BE-4DF6-A6C1-A4C2661290B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F9" firstHeaderRow="1" firstDataRow="1" firstDataCol="1"/>
  <pivotFields count="8">
    <pivotField showAll="0"/>
    <pivotField axis="axisRow" showAll="0">
      <items count="7">
        <item x="3"/>
        <item x="2"/>
        <item x="1"/>
        <item x="4"/>
        <item x="0"/>
        <item x="5"/>
        <item t="default"/>
      </items>
    </pivotField>
    <pivotField showAll="0"/>
    <pivotField showAll="0"/>
    <pivotField showAll="0"/>
    <pivotField showAll="0"/>
    <pivotField showAll="0"/>
    <pivotField dataField="1" showAll="0"/>
  </pivotFields>
  <rowFields count="1">
    <field x="1"/>
  </rowFields>
  <rowItems count="7">
    <i>
      <x/>
    </i>
    <i>
      <x v="1"/>
    </i>
    <i>
      <x v="2"/>
    </i>
    <i>
      <x v="3"/>
    </i>
    <i>
      <x v="4"/>
    </i>
    <i>
      <x v="5"/>
    </i>
    <i t="grand">
      <x/>
    </i>
  </rowItems>
  <colItems count="1">
    <i/>
  </colItems>
  <dataFields count="1">
    <dataField name="Average of profit_margin" fld="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C0F3C-5B67-49EF-9678-EA2FEAF994CB}"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J16" firstHeaderRow="0" firstDataRow="1" firstDataCol="1"/>
  <pivotFields count="6">
    <pivotField showAll="0"/>
    <pivotField axis="axisRow" showAll="0">
      <items count="6">
        <item x="3"/>
        <item x="2"/>
        <item x="1"/>
        <item x="4"/>
        <item x="0"/>
        <item t="default"/>
      </items>
    </pivotField>
    <pivotField dataField="1" showAll="0"/>
    <pivotField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Average of rating" fld="4" subtotal="average" baseField="1" baseItem="0"/>
    <dataField name="Average of discounted_price" fld="2" subtotal="average" baseField="1" baseItem="0"/>
  </dataFields>
  <conditionalFormats count="1">
    <conditionalFormat priority="1">
      <pivotAreas count="1">
        <pivotArea type="data" collapsedLevelsAreSubtotals="1" fieldPosition="0">
          <references count="2">
            <reference field="4294967294" count="1" selected="0">
              <x v="1"/>
            </reference>
            <reference field="1"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A2BEF-4697-4BCD-9B23-5AC5618690A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8" firstHeaderRow="1" firstDataRow="1" firstDataCol="1"/>
  <pivotFields count="6">
    <pivotField showAll="0"/>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1"/>
  </rowFields>
  <rowItems count="6">
    <i>
      <x v="3"/>
    </i>
    <i>
      <x/>
    </i>
    <i>
      <x v="1"/>
    </i>
    <i>
      <x v="2"/>
    </i>
    <i>
      <x v="4"/>
    </i>
    <i t="grand">
      <x/>
    </i>
  </rowItems>
  <colItems count="1">
    <i/>
  </colItems>
  <dataFields count="1">
    <dataField name="Average of discounted_price" fld="2" subtotal="average" baseField="1"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0487D88-4DE6-44F1-8E1B-45F2A28A0201}" sourceName="category">
  <pivotTables>
    <pivotTable tabId="2" name="PivotTable3"/>
  </pivotTables>
  <data>
    <tabular pivotCacheId="680378114">
      <items count="5">
        <i x="3" s="1"/>
        <i x="2"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445B31-94E0-42D7-9EBD-9F4C8C2238DF}"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D9D77-5C49-4498-9F8E-1F0539A7C39D}" name="Table1" displayName="Table1" ref="A1:H51" totalsRowShown="0">
  <autoFilter ref="A1:H51" xr:uid="{918D9D77-5C49-4498-9F8E-1F0539A7C39D}"/>
  <tableColumns count="8">
    <tableColumn id="1" xr3:uid="{79AD5710-82C5-4FB4-939E-B13C9CEFAFBD}" name="product_id"/>
    <tableColumn id="2" xr3:uid="{BFAA3A91-7142-4E26-958F-B1750E98C979}" name="category"/>
    <tableColumn id="3" xr3:uid="{F84F339B-E3C7-4DB4-A880-F663164B767A}" name="discounted_price"/>
    <tableColumn id="4" xr3:uid="{99FCFA1C-4C18-4DA4-A16C-0447B3979F94}" name="actual_price"/>
    <tableColumn id="5" xr3:uid="{518B6AE6-C230-44E3-9A6E-FFE50281CE32}" name="rating"/>
    <tableColumn id="6" xr3:uid="{D044E866-7AEB-44F1-8C35-0B22E3AEF665}" name="rating_count"/>
    <tableColumn id="7" xr3:uid="{84986A14-08D5-47F2-BBDE-10327C19A3AC}" name="profit" dataDxfId="0">
      <calculatedColumnFormula>D2 - C2</calculatedColumnFormula>
    </tableColumn>
    <tableColumn id="8" xr3:uid="{6280E262-96E0-4FE9-8557-318468337CBC}" name="profit_margin" dataCellStyle="Percent">
      <calculatedColumnFormula xml:space="preserve"> G2 / D2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754A-B02A-4469-8F29-D436EC6D6BC4}">
  <sheetPr>
    <pageSetUpPr fitToPage="1"/>
  </sheetPr>
  <dimension ref="A2:J16"/>
  <sheetViews>
    <sheetView tabSelected="1" workbookViewId="0">
      <selection activeCell="H20" sqref="H20"/>
    </sheetView>
  </sheetViews>
  <sheetFormatPr defaultRowHeight="14.4" x14ac:dyDescent="0.3"/>
  <cols>
    <col min="1" max="1" width="14.21875" customWidth="1"/>
    <col min="2" max="2" width="25.44140625" bestFit="1" customWidth="1"/>
    <col min="4" max="4" width="14.21875" customWidth="1"/>
    <col min="5" max="5" width="15.5546875" customWidth="1"/>
    <col min="6" max="6" width="25.44140625" bestFit="1" customWidth="1"/>
    <col min="7" max="7" width="14.21875" bestFit="1" customWidth="1"/>
    <col min="8" max="8" width="19.44140625" customWidth="1"/>
    <col min="9" max="9" width="16.77734375" customWidth="1"/>
    <col min="10" max="10" width="24" customWidth="1"/>
  </cols>
  <sheetData>
    <row r="2" spans="1:10" x14ac:dyDescent="0.3">
      <c r="A2" s="1" t="s">
        <v>61</v>
      </c>
      <c r="B2" t="s">
        <v>63</v>
      </c>
      <c r="E2" s="1" t="s">
        <v>61</v>
      </c>
      <c r="F2" t="s">
        <v>68</v>
      </c>
    </row>
    <row r="3" spans="1:10" x14ac:dyDescent="0.3">
      <c r="A3" s="2" t="s">
        <v>15</v>
      </c>
      <c r="B3" s="3">
        <v>775</v>
      </c>
      <c r="E3" s="2" t="s">
        <v>13</v>
      </c>
      <c r="F3" s="3">
        <v>0.25099956285368979</v>
      </c>
    </row>
    <row r="4" spans="1:10" x14ac:dyDescent="0.3">
      <c r="A4" s="2" t="s">
        <v>13</v>
      </c>
      <c r="B4" s="3">
        <v>765</v>
      </c>
      <c r="E4" s="2" t="s">
        <v>11</v>
      </c>
      <c r="F4" s="3">
        <v>0.25206894739233748</v>
      </c>
    </row>
    <row r="5" spans="1:10" x14ac:dyDescent="0.3">
      <c r="A5" s="2" t="s">
        <v>11</v>
      </c>
      <c r="B5" s="3">
        <v>755</v>
      </c>
      <c r="E5" s="2" t="s">
        <v>9</v>
      </c>
      <c r="F5" s="3">
        <v>0.25316667091084161</v>
      </c>
    </row>
    <row r="6" spans="1:10" x14ac:dyDescent="0.3">
      <c r="A6" s="2" t="s">
        <v>9</v>
      </c>
      <c r="B6" s="3">
        <v>745</v>
      </c>
      <c r="E6" s="2" t="s">
        <v>15</v>
      </c>
      <c r="F6" s="3">
        <v>0.24995740392440599</v>
      </c>
    </row>
    <row r="7" spans="1:10" x14ac:dyDescent="0.3">
      <c r="A7" s="2" t="s">
        <v>7</v>
      </c>
      <c r="B7" s="3">
        <v>735</v>
      </c>
      <c r="E7" s="2" t="s">
        <v>7</v>
      </c>
      <c r="F7" s="3">
        <v>0.25429391005433766</v>
      </c>
    </row>
    <row r="8" spans="1:10" x14ac:dyDescent="0.3">
      <c r="A8" s="2" t="s">
        <v>62</v>
      </c>
      <c r="B8" s="3">
        <v>755</v>
      </c>
      <c r="E8" s="2" t="s">
        <v>67</v>
      </c>
      <c r="F8" s="3"/>
    </row>
    <row r="9" spans="1:10" x14ac:dyDescent="0.3">
      <c r="E9" s="2" t="s">
        <v>62</v>
      </c>
      <c r="F9" s="3">
        <v>0.25209729902712247</v>
      </c>
    </row>
    <row r="10" spans="1:10" ht="21" x14ac:dyDescent="0.4">
      <c r="A10" s="5"/>
      <c r="H10" s="1" t="s">
        <v>61</v>
      </c>
      <c r="I10" t="s">
        <v>64</v>
      </c>
      <c r="J10" t="s">
        <v>63</v>
      </c>
    </row>
    <row r="11" spans="1:10" x14ac:dyDescent="0.3">
      <c r="A11" s="2"/>
      <c r="B11" s="6"/>
      <c r="H11" s="2" t="s">
        <v>13</v>
      </c>
      <c r="I11" s="3">
        <v>4.7000000000000011</v>
      </c>
      <c r="J11" s="3">
        <v>765</v>
      </c>
    </row>
    <row r="12" spans="1:10" x14ac:dyDescent="0.3">
      <c r="H12" s="2" t="s">
        <v>11</v>
      </c>
      <c r="I12" s="3">
        <v>4.3999999999999995</v>
      </c>
      <c r="J12" s="3">
        <v>755</v>
      </c>
    </row>
    <row r="13" spans="1:10" x14ac:dyDescent="0.3">
      <c r="H13" s="2" t="s">
        <v>9</v>
      </c>
      <c r="I13" s="3">
        <v>4.1000000000000005</v>
      </c>
      <c r="J13" s="3">
        <v>745</v>
      </c>
    </row>
    <row r="14" spans="1:10" x14ac:dyDescent="0.3">
      <c r="H14" s="2" t="s">
        <v>15</v>
      </c>
      <c r="I14" s="3">
        <v>3.5</v>
      </c>
      <c r="J14" s="3">
        <v>775</v>
      </c>
    </row>
    <row r="15" spans="1:10" x14ac:dyDescent="0.3">
      <c r="H15" s="2" t="s">
        <v>7</v>
      </c>
      <c r="I15" s="3">
        <v>3.8</v>
      </c>
      <c r="J15" s="3">
        <v>735</v>
      </c>
    </row>
    <row r="16" spans="1:10" x14ac:dyDescent="0.3">
      <c r="H16" s="2" t="s">
        <v>62</v>
      </c>
      <c r="I16" s="3">
        <v>4.1000000000000023</v>
      </c>
      <c r="J16" s="3">
        <v>755</v>
      </c>
    </row>
  </sheetData>
  <conditionalFormatting pivot="1" sqref="J11:J15">
    <cfRule type="colorScale" priority="1">
      <colorScale>
        <cfvo type="min"/>
        <cfvo type="percentile" val="50"/>
        <cfvo type="max"/>
        <color rgb="FFF8696B"/>
        <color rgb="FFFFEB84"/>
        <color rgb="FF63BE7B"/>
      </colorScale>
    </cfRule>
  </conditionalFormatting>
  <pageMargins left="0.7" right="0.7" top="0.75" bottom="0.75" header="0.3" footer="0.3"/>
  <pageSetup paperSize="9" scale="42" orientation="portrait" r:id="rId4"/>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opLeftCell="A31" workbookViewId="0">
      <selection activeCell="K19" sqref="K19"/>
    </sheetView>
  </sheetViews>
  <sheetFormatPr defaultRowHeight="14.4" x14ac:dyDescent="0.3"/>
  <cols>
    <col min="1" max="1" width="12.109375" customWidth="1"/>
    <col min="2" max="2" width="10.21875" customWidth="1"/>
    <col min="3" max="3" width="17.33203125" customWidth="1"/>
    <col min="4" max="4" width="13.109375" customWidth="1"/>
    <col min="6" max="6" width="13.6640625" customWidth="1"/>
    <col min="8" max="8" width="8.88671875" style="4"/>
  </cols>
  <sheetData>
    <row r="1" spans="1:8" x14ac:dyDescent="0.3">
      <c r="A1" t="s">
        <v>0</v>
      </c>
      <c r="B1" t="s">
        <v>1</v>
      </c>
      <c r="C1" t="s">
        <v>2</v>
      </c>
      <c r="D1" t="s">
        <v>3</v>
      </c>
      <c r="E1" t="s">
        <v>4</v>
      </c>
      <c r="F1" t="s">
        <v>5</v>
      </c>
      <c r="G1" t="s">
        <v>65</v>
      </c>
      <c r="H1" s="4" t="s">
        <v>66</v>
      </c>
    </row>
    <row r="2" spans="1:8" x14ac:dyDescent="0.3">
      <c r="A2" t="s">
        <v>6</v>
      </c>
      <c r="B2" t="s">
        <v>7</v>
      </c>
      <c r="C2">
        <v>510</v>
      </c>
      <c r="D2">
        <v>712</v>
      </c>
      <c r="E2">
        <v>3.8</v>
      </c>
      <c r="F2">
        <v>55</v>
      </c>
      <c r="G2">
        <f t="shared" ref="G2:G33" si="0">D2 - C2</f>
        <v>202</v>
      </c>
      <c r="H2" s="4">
        <f t="shared" ref="H2:H33" si="1" xml:space="preserve"> G2 / D2</f>
        <v>0.28370786516853935</v>
      </c>
    </row>
    <row r="3" spans="1:8" x14ac:dyDescent="0.3">
      <c r="A3" t="s">
        <v>8</v>
      </c>
      <c r="B3" t="s">
        <v>9</v>
      </c>
      <c r="C3">
        <v>520</v>
      </c>
      <c r="D3">
        <v>724</v>
      </c>
      <c r="E3">
        <v>4.0999999999999996</v>
      </c>
      <c r="F3">
        <v>60</v>
      </c>
      <c r="G3">
        <f t="shared" si="0"/>
        <v>204</v>
      </c>
      <c r="H3" s="4">
        <f t="shared" si="1"/>
        <v>0.28176795580110497</v>
      </c>
    </row>
    <row r="4" spans="1:8" x14ac:dyDescent="0.3">
      <c r="A4" t="s">
        <v>10</v>
      </c>
      <c r="B4" t="s">
        <v>11</v>
      </c>
      <c r="C4">
        <v>530</v>
      </c>
      <c r="D4">
        <v>736</v>
      </c>
      <c r="E4">
        <v>4.4000000000000004</v>
      </c>
      <c r="F4">
        <v>65</v>
      </c>
      <c r="G4">
        <f t="shared" si="0"/>
        <v>206</v>
      </c>
      <c r="H4" s="4">
        <f t="shared" si="1"/>
        <v>0.27989130434782611</v>
      </c>
    </row>
    <row r="5" spans="1:8" x14ac:dyDescent="0.3">
      <c r="A5" t="s">
        <v>12</v>
      </c>
      <c r="B5" t="s">
        <v>13</v>
      </c>
      <c r="C5">
        <v>540</v>
      </c>
      <c r="D5">
        <v>748</v>
      </c>
      <c r="E5">
        <v>4.7</v>
      </c>
      <c r="F5">
        <v>70</v>
      </c>
      <c r="G5">
        <f t="shared" si="0"/>
        <v>208</v>
      </c>
      <c r="H5" s="4">
        <f t="shared" si="1"/>
        <v>0.27807486631016043</v>
      </c>
    </row>
    <row r="6" spans="1:8" x14ac:dyDescent="0.3">
      <c r="A6" t="s">
        <v>14</v>
      </c>
      <c r="B6" t="s">
        <v>15</v>
      </c>
      <c r="C6">
        <v>550</v>
      </c>
      <c r="D6">
        <v>760</v>
      </c>
      <c r="E6">
        <v>3.5</v>
      </c>
      <c r="F6">
        <v>75</v>
      </c>
      <c r="G6">
        <f t="shared" si="0"/>
        <v>210</v>
      </c>
      <c r="H6" s="4">
        <f t="shared" si="1"/>
        <v>0.27631578947368424</v>
      </c>
    </row>
    <row r="7" spans="1:8" x14ac:dyDescent="0.3">
      <c r="A7" t="s">
        <v>16</v>
      </c>
      <c r="B7" t="s">
        <v>7</v>
      </c>
      <c r="C7">
        <v>560</v>
      </c>
      <c r="D7">
        <v>772</v>
      </c>
      <c r="E7">
        <v>3.8</v>
      </c>
      <c r="F7">
        <v>80</v>
      </c>
      <c r="G7">
        <f t="shared" si="0"/>
        <v>212</v>
      </c>
      <c r="H7" s="4">
        <f t="shared" si="1"/>
        <v>0.27461139896373055</v>
      </c>
    </row>
    <row r="8" spans="1:8" x14ac:dyDescent="0.3">
      <c r="A8" t="s">
        <v>17</v>
      </c>
      <c r="B8" t="s">
        <v>9</v>
      </c>
      <c r="C8">
        <v>570</v>
      </c>
      <c r="D8">
        <v>784</v>
      </c>
      <c r="E8">
        <v>4.0999999999999996</v>
      </c>
      <c r="F8">
        <v>85</v>
      </c>
      <c r="G8">
        <f t="shared" si="0"/>
        <v>214</v>
      </c>
      <c r="H8" s="4">
        <f t="shared" si="1"/>
        <v>0.27295918367346939</v>
      </c>
    </row>
    <row r="9" spans="1:8" x14ac:dyDescent="0.3">
      <c r="A9" t="s">
        <v>18</v>
      </c>
      <c r="B9" t="s">
        <v>11</v>
      </c>
      <c r="C9">
        <v>580</v>
      </c>
      <c r="D9">
        <v>796</v>
      </c>
      <c r="E9">
        <v>4.4000000000000004</v>
      </c>
      <c r="F9">
        <v>90</v>
      </c>
      <c r="G9">
        <f t="shared" si="0"/>
        <v>216</v>
      </c>
      <c r="H9" s="4">
        <f t="shared" si="1"/>
        <v>0.271356783919598</v>
      </c>
    </row>
    <row r="10" spans="1:8" x14ac:dyDescent="0.3">
      <c r="A10" t="s">
        <v>19</v>
      </c>
      <c r="B10" t="s">
        <v>13</v>
      </c>
      <c r="C10">
        <v>590</v>
      </c>
      <c r="D10">
        <v>808</v>
      </c>
      <c r="E10">
        <v>4.7</v>
      </c>
      <c r="F10">
        <v>95</v>
      </c>
      <c r="G10">
        <f t="shared" si="0"/>
        <v>218</v>
      </c>
      <c r="H10" s="4">
        <f t="shared" si="1"/>
        <v>0.26980198019801982</v>
      </c>
    </row>
    <row r="11" spans="1:8" x14ac:dyDescent="0.3">
      <c r="A11" t="s">
        <v>20</v>
      </c>
      <c r="B11" t="s">
        <v>15</v>
      </c>
      <c r="C11">
        <v>600</v>
      </c>
      <c r="D11">
        <v>820</v>
      </c>
      <c r="E11">
        <v>3.5</v>
      </c>
      <c r="F11">
        <v>100</v>
      </c>
      <c r="G11">
        <f t="shared" si="0"/>
        <v>220</v>
      </c>
      <c r="H11" s="4">
        <f t="shared" si="1"/>
        <v>0.26829268292682928</v>
      </c>
    </row>
    <row r="12" spans="1:8" x14ac:dyDescent="0.3">
      <c r="A12" t="s">
        <v>21</v>
      </c>
      <c r="B12" t="s">
        <v>7</v>
      </c>
      <c r="C12">
        <v>610</v>
      </c>
      <c r="D12">
        <v>832</v>
      </c>
      <c r="E12">
        <v>3.8</v>
      </c>
      <c r="F12">
        <v>105</v>
      </c>
      <c r="G12">
        <f t="shared" si="0"/>
        <v>222</v>
      </c>
      <c r="H12" s="4">
        <f t="shared" si="1"/>
        <v>0.26682692307692307</v>
      </c>
    </row>
    <row r="13" spans="1:8" x14ac:dyDescent="0.3">
      <c r="A13" t="s">
        <v>22</v>
      </c>
      <c r="B13" t="s">
        <v>9</v>
      </c>
      <c r="C13">
        <v>620</v>
      </c>
      <c r="D13">
        <v>844</v>
      </c>
      <c r="E13">
        <v>4.0999999999999996</v>
      </c>
      <c r="F13">
        <v>110</v>
      </c>
      <c r="G13">
        <f t="shared" si="0"/>
        <v>224</v>
      </c>
      <c r="H13" s="4">
        <f t="shared" si="1"/>
        <v>0.26540284360189575</v>
      </c>
    </row>
    <row r="14" spans="1:8" x14ac:dyDescent="0.3">
      <c r="A14" t="s">
        <v>23</v>
      </c>
      <c r="B14" t="s">
        <v>11</v>
      </c>
      <c r="C14">
        <v>630</v>
      </c>
      <c r="D14">
        <v>856</v>
      </c>
      <c r="E14">
        <v>4.4000000000000004</v>
      </c>
      <c r="F14">
        <v>115</v>
      </c>
      <c r="G14">
        <f t="shared" si="0"/>
        <v>226</v>
      </c>
      <c r="H14" s="4">
        <f t="shared" si="1"/>
        <v>0.26401869158878505</v>
      </c>
    </row>
    <row r="15" spans="1:8" x14ac:dyDescent="0.3">
      <c r="A15" t="s">
        <v>24</v>
      </c>
      <c r="B15" t="s">
        <v>13</v>
      </c>
      <c r="C15">
        <v>640</v>
      </c>
      <c r="D15">
        <v>868</v>
      </c>
      <c r="E15">
        <v>4.7</v>
      </c>
      <c r="F15">
        <v>120</v>
      </c>
      <c r="G15">
        <f t="shared" si="0"/>
        <v>228</v>
      </c>
      <c r="H15" s="4">
        <f t="shared" si="1"/>
        <v>0.26267281105990781</v>
      </c>
    </row>
    <row r="16" spans="1:8" x14ac:dyDescent="0.3">
      <c r="A16" t="s">
        <v>25</v>
      </c>
      <c r="B16" t="s">
        <v>15</v>
      </c>
      <c r="C16">
        <v>650</v>
      </c>
      <c r="D16">
        <v>880</v>
      </c>
      <c r="E16">
        <v>3.5</v>
      </c>
      <c r="F16">
        <v>125</v>
      </c>
      <c r="G16">
        <f t="shared" si="0"/>
        <v>230</v>
      </c>
      <c r="H16" s="4">
        <f t="shared" si="1"/>
        <v>0.26136363636363635</v>
      </c>
    </row>
    <row r="17" spans="1:8" x14ac:dyDescent="0.3">
      <c r="A17" t="s">
        <v>26</v>
      </c>
      <c r="B17" t="s">
        <v>7</v>
      </c>
      <c r="C17">
        <v>660</v>
      </c>
      <c r="D17">
        <v>892</v>
      </c>
      <c r="E17">
        <v>3.8</v>
      </c>
      <c r="F17">
        <v>130</v>
      </c>
      <c r="G17">
        <f t="shared" si="0"/>
        <v>232</v>
      </c>
      <c r="H17" s="4">
        <f t="shared" si="1"/>
        <v>0.26008968609865468</v>
      </c>
    </row>
    <row r="18" spans="1:8" x14ac:dyDescent="0.3">
      <c r="A18" t="s">
        <v>27</v>
      </c>
      <c r="B18" t="s">
        <v>9</v>
      </c>
      <c r="C18">
        <v>670</v>
      </c>
      <c r="D18">
        <v>904</v>
      </c>
      <c r="E18">
        <v>4.0999999999999996</v>
      </c>
      <c r="F18">
        <v>135</v>
      </c>
      <c r="G18">
        <f t="shared" si="0"/>
        <v>234</v>
      </c>
      <c r="H18" s="4">
        <f t="shared" si="1"/>
        <v>0.25884955752212391</v>
      </c>
    </row>
    <row r="19" spans="1:8" x14ac:dyDescent="0.3">
      <c r="A19" t="s">
        <v>28</v>
      </c>
      <c r="B19" t="s">
        <v>11</v>
      </c>
      <c r="C19">
        <v>680</v>
      </c>
      <c r="D19">
        <v>916</v>
      </c>
      <c r="E19">
        <v>4.4000000000000004</v>
      </c>
      <c r="F19">
        <v>140</v>
      </c>
      <c r="G19">
        <f t="shared" si="0"/>
        <v>236</v>
      </c>
      <c r="H19" s="4">
        <f t="shared" si="1"/>
        <v>0.2576419213973799</v>
      </c>
    </row>
    <row r="20" spans="1:8" x14ac:dyDescent="0.3">
      <c r="A20" t="s">
        <v>29</v>
      </c>
      <c r="B20" t="s">
        <v>13</v>
      </c>
      <c r="C20">
        <v>690</v>
      </c>
      <c r="D20">
        <v>928</v>
      </c>
      <c r="E20">
        <v>4.7</v>
      </c>
      <c r="F20">
        <v>145</v>
      </c>
      <c r="G20">
        <f t="shared" si="0"/>
        <v>238</v>
      </c>
      <c r="H20" s="4">
        <f t="shared" si="1"/>
        <v>0.25646551724137934</v>
      </c>
    </row>
    <row r="21" spans="1:8" x14ac:dyDescent="0.3">
      <c r="A21" t="s">
        <v>30</v>
      </c>
      <c r="B21" t="s">
        <v>15</v>
      </c>
      <c r="C21">
        <v>700</v>
      </c>
      <c r="D21">
        <v>940</v>
      </c>
      <c r="E21">
        <v>3.5</v>
      </c>
      <c r="F21">
        <v>150</v>
      </c>
      <c r="G21">
        <f t="shared" si="0"/>
        <v>240</v>
      </c>
      <c r="H21" s="4">
        <f t="shared" si="1"/>
        <v>0.25531914893617019</v>
      </c>
    </row>
    <row r="22" spans="1:8" x14ac:dyDescent="0.3">
      <c r="A22" t="s">
        <v>31</v>
      </c>
      <c r="B22" t="s">
        <v>7</v>
      </c>
      <c r="C22">
        <v>710</v>
      </c>
      <c r="D22">
        <v>952</v>
      </c>
      <c r="E22">
        <v>3.8</v>
      </c>
      <c r="F22">
        <v>155</v>
      </c>
      <c r="G22">
        <f t="shared" si="0"/>
        <v>242</v>
      </c>
      <c r="H22" s="4">
        <f t="shared" si="1"/>
        <v>0.25420168067226889</v>
      </c>
    </row>
    <row r="23" spans="1:8" x14ac:dyDescent="0.3">
      <c r="A23" t="s">
        <v>32</v>
      </c>
      <c r="B23" t="s">
        <v>9</v>
      </c>
      <c r="C23">
        <v>720</v>
      </c>
      <c r="D23">
        <v>964</v>
      </c>
      <c r="E23">
        <v>4.0999999999999996</v>
      </c>
      <c r="F23">
        <v>160</v>
      </c>
      <c r="G23">
        <f t="shared" si="0"/>
        <v>244</v>
      </c>
      <c r="H23" s="4">
        <f t="shared" si="1"/>
        <v>0.25311203319502074</v>
      </c>
    </row>
    <row r="24" spans="1:8" x14ac:dyDescent="0.3">
      <c r="A24" t="s">
        <v>33</v>
      </c>
      <c r="B24" t="s">
        <v>11</v>
      </c>
      <c r="C24">
        <v>730</v>
      </c>
      <c r="D24">
        <v>976</v>
      </c>
      <c r="E24">
        <v>4.4000000000000004</v>
      </c>
      <c r="F24">
        <v>165</v>
      </c>
      <c r="G24">
        <f t="shared" si="0"/>
        <v>246</v>
      </c>
      <c r="H24" s="4">
        <f t="shared" si="1"/>
        <v>0.25204918032786883</v>
      </c>
    </row>
    <row r="25" spans="1:8" x14ac:dyDescent="0.3">
      <c r="A25" t="s">
        <v>34</v>
      </c>
      <c r="B25" t="s">
        <v>13</v>
      </c>
      <c r="C25">
        <v>740</v>
      </c>
      <c r="D25">
        <v>988</v>
      </c>
      <c r="E25">
        <v>4.7</v>
      </c>
      <c r="F25">
        <v>170</v>
      </c>
      <c r="G25">
        <f t="shared" si="0"/>
        <v>248</v>
      </c>
      <c r="H25" s="4">
        <f t="shared" si="1"/>
        <v>0.25101214574898784</v>
      </c>
    </row>
    <row r="26" spans="1:8" x14ac:dyDescent="0.3">
      <c r="A26" t="s">
        <v>35</v>
      </c>
      <c r="B26" t="s">
        <v>15</v>
      </c>
      <c r="C26">
        <v>750</v>
      </c>
      <c r="D26">
        <v>1000</v>
      </c>
      <c r="E26">
        <v>3.5</v>
      </c>
      <c r="F26">
        <v>175</v>
      </c>
      <c r="G26">
        <f t="shared" si="0"/>
        <v>250</v>
      </c>
      <c r="H26" s="4">
        <f t="shared" si="1"/>
        <v>0.25</v>
      </c>
    </row>
    <row r="27" spans="1:8" x14ac:dyDescent="0.3">
      <c r="A27" t="s">
        <v>36</v>
      </c>
      <c r="B27" t="s">
        <v>7</v>
      </c>
      <c r="C27">
        <v>760</v>
      </c>
      <c r="D27">
        <v>1012</v>
      </c>
      <c r="E27">
        <v>3.8</v>
      </c>
      <c r="F27">
        <v>180</v>
      </c>
      <c r="G27">
        <f t="shared" si="0"/>
        <v>252</v>
      </c>
      <c r="H27" s="4">
        <f t="shared" si="1"/>
        <v>0.24901185770750989</v>
      </c>
    </row>
    <row r="28" spans="1:8" x14ac:dyDescent="0.3">
      <c r="A28" t="s">
        <v>37</v>
      </c>
      <c r="B28" t="s">
        <v>9</v>
      </c>
      <c r="C28">
        <v>770</v>
      </c>
      <c r="D28">
        <v>1024</v>
      </c>
      <c r="E28">
        <v>4.0999999999999996</v>
      </c>
      <c r="F28">
        <v>185</v>
      </c>
      <c r="G28">
        <f t="shared" si="0"/>
        <v>254</v>
      </c>
      <c r="H28" s="4">
        <f t="shared" si="1"/>
        <v>0.248046875</v>
      </c>
    </row>
    <row r="29" spans="1:8" x14ac:dyDescent="0.3">
      <c r="A29" t="s">
        <v>38</v>
      </c>
      <c r="B29" t="s">
        <v>11</v>
      </c>
      <c r="C29">
        <v>780</v>
      </c>
      <c r="D29">
        <v>1036</v>
      </c>
      <c r="E29">
        <v>4.4000000000000004</v>
      </c>
      <c r="F29">
        <v>190</v>
      </c>
      <c r="G29">
        <f t="shared" si="0"/>
        <v>256</v>
      </c>
      <c r="H29" s="4">
        <f t="shared" si="1"/>
        <v>0.24710424710424711</v>
      </c>
    </row>
    <row r="30" spans="1:8" x14ac:dyDescent="0.3">
      <c r="A30" t="s">
        <v>39</v>
      </c>
      <c r="B30" t="s">
        <v>13</v>
      </c>
      <c r="C30">
        <v>790</v>
      </c>
      <c r="D30">
        <v>1048</v>
      </c>
      <c r="E30">
        <v>4.7</v>
      </c>
      <c r="F30">
        <v>195</v>
      </c>
      <c r="G30">
        <f t="shared" si="0"/>
        <v>258</v>
      </c>
      <c r="H30" s="4">
        <f t="shared" si="1"/>
        <v>0.24618320610687022</v>
      </c>
    </row>
    <row r="31" spans="1:8" x14ac:dyDescent="0.3">
      <c r="A31" t="s">
        <v>40</v>
      </c>
      <c r="B31" t="s">
        <v>15</v>
      </c>
      <c r="C31">
        <v>800</v>
      </c>
      <c r="D31">
        <v>1060</v>
      </c>
      <c r="E31">
        <v>3.5</v>
      </c>
      <c r="F31">
        <v>200</v>
      </c>
      <c r="G31">
        <f t="shared" si="0"/>
        <v>260</v>
      </c>
      <c r="H31" s="4">
        <f t="shared" si="1"/>
        <v>0.24528301886792453</v>
      </c>
    </row>
    <row r="32" spans="1:8" x14ac:dyDescent="0.3">
      <c r="A32" t="s">
        <v>41</v>
      </c>
      <c r="B32" t="s">
        <v>7</v>
      </c>
      <c r="C32">
        <v>810</v>
      </c>
      <c r="D32">
        <v>1072</v>
      </c>
      <c r="E32">
        <v>3.8</v>
      </c>
      <c r="F32">
        <v>205</v>
      </c>
      <c r="G32">
        <f t="shared" si="0"/>
        <v>262</v>
      </c>
      <c r="H32" s="4">
        <f t="shared" si="1"/>
        <v>0.24440298507462688</v>
      </c>
    </row>
    <row r="33" spans="1:8" x14ac:dyDescent="0.3">
      <c r="A33" t="s">
        <v>42</v>
      </c>
      <c r="B33" t="s">
        <v>9</v>
      </c>
      <c r="C33">
        <v>820</v>
      </c>
      <c r="D33">
        <v>1084</v>
      </c>
      <c r="E33">
        <v>4.0999999999999996</v>
      </c>
      <c r="F33">
        <v>210</v>
      </c>
      <c r="G33">
        <f t="shared" si="0"/>
        <v>264</v>
      </c>
      <c r="H33" s="4">
        <f t="shared" si="1"/>
        <v>0.24354243542435425</v>
      </c>
    </row>
    <row r="34" spans="1:8" x14ac:dyDescent="0.3">
      <c r="A34" t="s">
        <v>43</v>
      </c>
      <c r="B34" t="s">
        <v>11</v>
      </c>
      <c r="C34">
        <v>830</v>
      </c>
      <c r="D34">
        <v>1096</v>
      </c>
      <c r="E34">
        <v>4.4000000000000004</v>
      </c>
      <c r="F34">
        <v>215</v>
      </c>
      <c r="G34">
        <f t="shared" ref="G34:G51" si="2">D34 - C34</f>
        <v>266</v>
      </c>
      <c r="H34" s="4">
        <f t="shared" ref="H34:H65" si="3" xml:space="preserve"> G34 / D34</f>
        <v>0.24270072992700731</v>
      </c>
    </row>
    <row r="35" spans="1:8" x14ac:dyDescent="0.3">
      <c r="A35" t="s">
        <v>44</v>
      </c>
      <c r="B35" t="s">
        <v>13</v>
      </c>
      <c r="C35">
        <v>840</v>
      </c>
      <c r="D35">
        <v>1108</v>
      </c>
      <c r="E35">
        <v>4.7</v>
      </c>
      <c r="F35">
        <v>220</v>
      </c>
      <c r="G35">
        <f t="shared" si="2"/>
        <v>268</v>
      </c>
      <c r="H35" s="4">
        <f t="shared" si="3"/>
        <v>0.24187725631768953</v>
      </c>
    </row>
    <row r="36" spans="1:8" x14ac:dyDescent="0.3">
      <c r="A36" t="s">
        <v>45</v>
      </c>
      <c r="B36" t="s">
        <v>15</v>
      </c>
      <c r="C36">
        <v>850</v>
      </c>
      <c r="D36">
        <v>1120</v>
      </c>
      <c r="E36">
        <v>3.5</v>
      </c>
      <c r="F36">
        <v>225</v>
      </c>
      <c r="G36">
        <f t="shared" si="2"/>
        <v>270</v>
      </c>
      <c r="H36" s="4">
        <f t="shared" si="3"/>
        <v>0.24107142857142858</v>
      </c>
    </row>
    <row r="37" spans="1:8" x14ac:dyDescent="0.3">
      <c r="A37" t="s">
        <v>46</v>
      </c>
      <c r="B37" t="s">
        <v>7</v>
      </c>
      <c r="C37">
        <v>860</v>
      </c>
      <c r="D37">
        <v>1132</v>
      </c>
      <c r="E37">
        <v>3.8</v>
      </c>
      <c r="F37">
        <v>230</v>
      </c>
      <c r="G37">
        <f t="shared" si="2"/>
        <v>272</v>
      </c>
      <c r="H37" s="4">
        <f t="shared" si="3"/>
        <v>0.24028268551236748</v>
      </c>
    </row>
    <row r="38" spans="1:8" x14ac:dyDescent="0.3">
      <c r="A38" t="s">
        <v>47</v>
      </c>
      <c r="B38" t="s">
        <v>9</v>
      </c>
      <c r="C38">
        <v>870</v>
      </c>
      <c r="D38">
        <v>1144</v>
      </c>
      <c r="E38">
        <v>4.0999999999999996</v>
      </c>
      <c r="F38">
        <v>235</v>
      </c>
      <c r="G38">
        <f t="shared" si="2"/>
        <v>274</v>
      </c>
      <c r="H38" s="4">
        <f t="shared" si="3"/>
        <v>0.2395104895104895</v>
      </c>
    </row>
    <row r="39" spans="1:8" x14ac:dyDescent="0.3">
      <c r="A39" t="s">
        <v>48</v>
      </c>
      <c r="B39" t="s">
        <v>11</v>
      </c>
      <c r="C39">
        <v>880</v>
      </c>
      <c r="D39">
        <v>1156</v>
      </c>
      <c r="E39">
        <v>4.4000000000000004</v>
      </c>
      <c r="F39">
        <v>240</v>
      </c>
      <c r="G39">
        <f t="shared" si="2"/>
        <v>276</v>
      </c>
      <c r="H39" s="4">
        <f t="shared" si="3"/>
        <v>0.23875432525951557</v>
      </c>
    </row>
    <row r="40" spans="1:8" x14ac:dyDescent="0.3">
      <c r="A40" t="s">
        <v>49</v>
      </c>
      <c r="B40" t="s">
        <v>13</v>
      </c>
      <c r="C40">
        <v>890</v>
      </c>
      <c r="D40">
        <v>1168</v>
      </c>
      <c r="E40">
        <v>4.7</v>
      </c>
      <c r="F40">
        <v>245</v>
      </c>
      <c r="G40">
        <f t="shared" si="2"/>
        <v>278</v>
      </c>
      <c r="H40" s="4">
        <f t="shared" si="3"/>
        <v>0.23801369863013699</v>
      </c>
    </row>
    <row r="41" spans="1:8" x14ac:dyDescent="0.3">
      <c r="A41" t="s">
        <v>50</v>
      </c>
      <c r="B41" t="s">
        <v>15</v>
      </c>
      <c r="C41">
        <v>900</v>
      </c>
      <c r="D41">
        <v>1180</v>
      </c>
      <c r="E41">
        <v>3.5</v>
      </c>
      <c r="F41">
        <v>250</v>
      </c>
      <c r="G41">
        <f t="shared" si="2"/>
        <v>280</v>
      </c>
      <c r="H41" s="4">
        <f t="shared" si="3"/>
        <v>0.23728813559322035</v>
      </c>
    </row>
    <row r="42" spans="1:8" x14ac:dyDescent="0.3">
      <c r="A42" t="s">
        <v>51</v>
      </c>
      <c r="B42" t="s">
        <v>7</v>
      </c>
      <c r="C42">
        <v>910</v>
      </c>
      <c r="D42">
        <v>1192</v>
      </c>
      <c r="E42">
        <v>3.8</v>
      </c>
      <c r="F42">
        <v>255</v>
      </c>
      <c r="G42">
        <f t="shared" si="2"/>
        <v>282</v>
      </c>
      <c r="H42" s="4">
        <f t="shared" si="3"/>
        <v>0.23657718120805368</v>
      </c>
    </row>
    <row r="43" spans="1:8" x14ac:dyDescent="0.3">
      <c r="A43" t="s">
        <v>52</v>
      </c>
      <c r="B43" t="s">
        <v>9</v>
      </c>
      <c r="C43">
        <v>920</v>
      </c>
      <c r="D43">
        <v>1204</v>
      </c>
      <c r="E43">
        <v>4.0999999999999996</v>
      </c>
      <c r="F43">
        <v>260</v>
      </c>
      <c r="G43">
        <f t="shared" si="2"/>
        <v>284</v>
      </c>
      <c r="H43" s="4">
        <f t="shared" si="3"/>
        <v>0.23588039867109634</v>
      </c>
    </row>
    <row r="44" spans="1:8" x14ac:dyDescent="0.3">
      <c r="A44" t="s">
        <v>53</v>
      </c>
      <c r="B44" t="s">
        <v>11</v>
      </c>
      <c r="C44">
        <v>930</v>
      </c>
      <c r="D44">
        <v>1216</v>
      </c>
      <c r="E44">
        <v>4.4000000000000004</v>
      </c>
      <c r="F44">
        <v>265</v>
      </c>
      <c r="G44">
        <f t="shared" si="2"/>
        <v>286</v>
      </c>
      <c r="H44" s="4">
        <f t="shared" si="3"/>
        <v>0.23519736842105263</v>
      </c>
    </row>
    <row r="45" spans="1:8" x14ac:dyDescent="0.3">
      <c r="A45" t="s">
        <v>54</v>
      </c>
      <c r="B45" t="s">
        <v>13</v>
      </c>
      <c r="C45">
        <v>940</v>
      </c>
      <c r="D45">
        <v>1228</v>
      </c>
      <c r="E45">
        <v>4.7</v>
      </c>
      <c r="F45">
        <v>270</v>
      </c>
      <c r="G45">
        <f t="shared" si="2"/>
        <v>288</v>
      </c>
      <c r="H45" s="4">
        <f t="shared" si="3"/>
        <v>0.23452768729641693</v>
      </c>
    </row>
    <row r="46" spans="1:8" x14ac:dyDescent="0.3">
      <c r="A46" t="s">
        <v>55</v>
      </c>
      <c r="B46" t="s">
        <v>15</v>
      </c>
      <c r="C46">
        <v>950</v>
      </c>
      <c r="D46">
        <v>1240</v>
      </c>
      <c r="E46">
        <v>3.5</v>
      </c>
      <c r="F46">
        <v>275</v>
      </c>
      <c r="G46">
        <f t="shared" si="2"/>
        <v>290</v>
      </c>
      <c r="H46" s="4">
        <f t="shared" si="3"/>
        <v>0.23387096774193547</v>
      </c>
    </row>
    <row r="47" spans="1:8" x14ac:dyDescent="0.3">
      <c r="A47" t="s">
        <v>56</v>
      </c>
      <c r="B47" t="s">
        <v>7</v>
      </c>
      <c r="C47">
        <v>960</v>
      </c>
      <c r="D47">
        <v>1252</v>
      </c>
      <c r="E47">
        <v>3.8</v>
      </c>
      <c r="F47">
        <v>280</v>
      </c>
      <c r="G47">
        <f t="shared" si="2"/>
        <v>292</v>
      </c>
      <c r="H47" s="4">
        <f t="shared" si="3"/>
        <v>0.23322683706070288</v>
      </c>
    </row>
    <row r="48" spans="1:8" x14ac:dyDescent="0.3">
      <c r="A48" t="s">
        <v>57</v>
      </c>
      <c r="B48" t="s">
        <v>9</v>
      </c>
      <c r="C48">
        <v>970</v>
      </c>
      <c r="D48">
        <v>1264</v>
      </c>
      <c r="E48">
        <v>4.0999999999999996</v>
      </c>
      <c r="F48">
        <v>285</v>
      </c>
      <c r="G48">
        <f t="shared" si="2"/>
        <v>294</v>
      </c>
      <c r="H48" s="4">
        <f t="shared" si="3"/>
        <v>0.23259493670886075</v>
      </c>
    </row>
    <row r="49" spans="1:8" x14ac:dyDescent="0.3">
      <c r="A49" t="s">
        <v>58</v>
      </c>
      <c r="B49" t="s">
        <v>11</v>
      </c>
      <c r="C49">
        <v>980</v>
      </c>
      <c r="D49">
        <v>1276</v>
      </c>
      <c r="E49">
        <v>4.4000000000000004</v>
      </c>
      <c r="F49">
        <v>290</v>
      </c>
      <c r="G49">
        <f t="shared" si="2"/>
        <v>296</v>
      </c>
      <c r="H49" s="4">
        <f t="shared" si="3"/>
        <v>0.23197492163009403</v>
      </c>
    </row>
    <row r="50" spans="1:8" x14ac:dyDescent="0.3">
      <c r="A50" t="s">
        <v>59</v>
      </c>
      <c r="B50" t="s">
        <v>13</v>
      </c>
      <c r="C50">
        <v>990</v>
      </c>
      <c r="D50">
        <v>1288</v>
      </c>
      <c r="E50">
        <v>4.7</v>
      </c>
      <c r="F50">
        <v>295</v>
      </c>
      <c r="G50">
        <f t="shared" si="2"/>
        <v>298</v>
      </c>
      <c r="H50" s="4">
        <f t="shared" si="3"/>
        <v>0.23136645962732919</v>
      </c>
    </row>
    <row r="51" spans="1:8" x14ac:dyDescent="0.3">
      <c r="A51" t="s">
        <v>60</v>
      </c>
      <c r="B51" t="s">
        <v>15</v>
      </c>
      <c r="C51">
        <v>1000</v>
      </c>
      <c r="D51">
        <v>1300</v>
      </c>
      <c r="E51">
        <v>3.5</v>
      </c>
      <c r="F51">
        <v>300</v>
      </c>
      <c r="G51">
        <f t="shared" si="2"/>
        <v>300</v>
      </c>
      <c r="H51" s="4">
        <f t="shared" si="3"/>
        <v>0.23076923076923078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Amazon_Clean_Data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PREETI GURAV</cp:lastModifiedBy>
  <cp:lastPrinted>2026-01-16T10:54:36Z</cp:lastPrinted>
  <dcterms:created xsi:type="dcterms:W3CDTF">2026-01-16T07:11:49Z</dcterms:created>
  <dcterms:modified xsi:type="dcterms:W3CDTF">2026-01-16T11:31:27Z</dcterms:modified>
</cp:coreProperties>
</file>